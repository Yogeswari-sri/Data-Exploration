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dar\OneDrive\Desktop\"/>
    </mc:Choice>
  </mc:AlternateContent>
  <xr:revisionPtr revIDLastSave="0" documentId="13_ncr:1_{DF31045C-1A0C-48AC-BCCA-23E5859D972B}" xr6:coauthVersionLast="47" xr6:coauthVersionMax="47" xr10:uidLastSave="{00000000-0000-0000-0000-000000000000}"/>
  <bookViews>
    <workbookView xWindow="-120" yWindow="-120" windowWidth="29040" windowHeight="15720" xr2:uid="{7B6F7AC6-757F-4D24-8EA1-9EE21111DD94}"/>
  </bookViews>
  <sheets>
    <sheet name="SalesDatabase" sheetId="1" r:id="rId1"/>
    <sheet name="Instruc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N7" i="1"/>
  <c r="M7" i="1"/>
  <c r="O3" i="1"/>
  <c r="N3" i="1"/>
  <c r="M3" i="1"/>
</calcChain>
</file>

<file path=xl/sharedStrings.xml><?xml version="1.0" encoding="utf-8"?>
<sst xmlns="http://schemas.openxmlformats.org/spreadsheetml/2006/main" count="169" uniqueCount="120">
  <si>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</si>
  <si>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</si>
  <si>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</si>
  <si>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</si>
  <si>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</si>
  <si>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</si>
  <si>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</si>
  <si>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</si>
  <si>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</si>
  <si>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</si>
  <si>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</si>
  <si>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</si>
  <si>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</si>
  <si>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</si>
  <si>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</si>
  <si>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</si>
  <si>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</si>
  <si>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</si>
  <si>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</si>
  <si>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</si>
  <si>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</si>
  <si>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</si>
  <si>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</si>
  <si>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</si>
  <si>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</si>
  <si>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</si>
  <si>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</si>
  <si>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</si>
  <si>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</si>
  <si>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</si>
  <si>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</si>
  <si>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</si>
  <si>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</si>
  <si>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</si>
  <si>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</si>
  <si>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</si>
  <si>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</si>
  <si>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</si>
  <si>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</si>
  <si>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</si>
  <si>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</si>
  <si>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</si>
  <si>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</si>
  <si>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</si>
  <si>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</si>
  <si>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</si>
  <si>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</si>
  <si>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</si>
  <si>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</si>
  <si>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</si>
  <si>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</si>
  <si>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</si>
  <si>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</si>
  <si>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</si>
  <si>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</si>
  <si>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</si>
  <si>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</si>
  <si>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</si>
  <si>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</si>
  <si>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</si>
  <si>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</si>
  <si>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</si>
  <si>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</si>
  <si>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</si>
  <si>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</si>
  <si>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</si>
  <si>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</si>
  <si>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</si>
  <si>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</si>
  <si>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</si>
  <si>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</si>
  <si>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</si>
  <si>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</si>
  <si>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</si>
  <si>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</si>
  <si>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</si>
  <si>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</si>
  <si>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</si>
  <si>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</si>
  <si>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</si>
  <si>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</si>
  <si>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</si>
  <si>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</si>
  <si>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</si>
  <si>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</si>
  <si>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</si>
  <si>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</si>
  <si>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</si>
  <si>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</si>
  <si>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</si>
  <si>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</si>
  <si>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</si>
  <si>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</si>
  <si>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</si>
  <si>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</si>
  <si>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</si>
  <si>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</si>
  <si>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</si>
  <si>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</si>
  <si>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</si>
  <si>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</si>
  <si>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</si>
  <si>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</si>
  <si>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</si>
  <si>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</si>
  <si>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</si>
  <si>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</si>
  <si>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</si>
  <si>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</si>
  <si>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</si>
  <si>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Total Price</t>
  </si>
  <si>
    <t>Count of price</t>
  </si>
  <si>
    <t>Average price</t>
  </si>
  <si>
    <t>Max Price of Products</t>
  </si>
  <si>
    <t>Min Price of Products</t>
  </si>
  <si>
    <t>IF</t>
  </si>
  <si>
    <t>SUMIF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</si>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</sst>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2" fillId="0" borderId="0" xfId="1"/>
    <xf numFmtId="0" fontId="7" fillId="2" borderId="0" xfId="1" applyFont="1" applyFill="1" applyAlignment="1">
      <alignment horizontal="center"/>
    </xf>
    <xf numFmtId="0" fontId="8" fillId="0" borderId="0" xfId="1" applyFont="1"/>
    <xf numFmtId="0" fontId="8" fillId="3" borderId="0" xfId="1" applyFont="1" applyFill="1"/>
    <xf numFmtId="0" fontId="2" fillId="0" borderId="0" xfId="1"/>
    <xf numFmtId="0" fontId="3" fillId="0" borderId="0" xfId="1" applyFont="1"/>
    <xf numFmtId="0" fontId="4" fillId="0" borderId="0" xfId="1" applyFont="1"/>
    <xf numFmtId="0" fontId="5" fillId="0" borderId="0" xfId="1" applyFont="1"/>
    <xf numFmtId="0" fontId="6" fillId="0" borderId="0" xfId="1" applyFont="1"/>
    <xf numFmtId="0" fontId="1" fillId="0" borderId="0" xfId="0" applyFont="1"/>
    <xf numFmtId="0" fontId="10" fillId="3" borderId="0" xfId="1" applyFont="1" applyFill="1"/>
    <xf numFmtId="0" fontId="9" fillId="2" borderId="0" xfId="1" applyFont="1" applyFill="1" applyAlignment="1">
      <alignment horizontal="center"/>
    </xf>
    <xf numFmtId="0" fontId="10" fillId="3" borderId="0" xfId="1" applyNumberFormat="1" applyFont="1" applyFill="1"/>
  </cellXfs>
  <cellStyles count="2">
    <cellStyle name="Normal" xfId="0" builtinId="0"/>
    <cellStyle name="Normal 2" xfId="1" xr:uid="{DBAD635D-7851-4C02-B341-3DFE9C383E09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94E980-ACA0-43EB-9EB6-170318CCB219}" name="sale_db" displayName="sale_db" ref="A1:K35" totalsRowShown="0" headerRowDxfId="5" dataDxfId="6" headerRowCellStyle="Normal 2" dataCellStyle="Normal 2">
  <autoFilter ref="A1:K35" xr:uid="{5194E980-ACA0-43EB-9EB6-170318CCB219}"/>
  <tableColumns count="11">
    <tableColumn id="1" xr3:uid="{158789B7-0F97-4F47-9E82-2F1FD8939353}" name="Product ID" dataDxfId="12" dataCellStyle="Normal 2"/>
    <tableColumn id="2" xr3:uid="{6C685385-3F6B-4807-BD9D-C75EC0AF9A4D}" name="Product Name" dataDxfId="11" dataCellStyle="Normal 2"/>
    <tableColumn id="3" xr3:uid="{5072D696-B36D-4985-AC37-133B56E3F079}" name="Brand Name" dataDxfId="10" dataCellStyle="Normal 2"/>
    <tableColumn id="4" xr3:uid="{09B8D91D-1B3A-420F-BC8B-913275CFC6DE}" name="Price ($)" dataDxfId="9" dataCellStyle="Normal 2"/>
    <tableColumn id="5" xr3:uid="{A2B2635E-2DEC-436D-8991-B57DFF3ED04D}" name="Quantity" dataDxfId="8" dataCellStyle="Normal 2"/>
    <tableColumn id="6" xr3:uid="{EE92377A-5924-4FF5-8ABE-58A05DDB696D}" name="Category" dataDxfId="7" dataCellStyle="Normal 2"/>
    <tableColumn id="7" xr3:uid="{91D867E1-E14C-4078-A369-9A1D2F3766D9}" name="IF" dataDxfId="4" dataCellStyle="Normal 2">
      <calculatedColumnFormula>IF(sale_db[Price ($)]&gt;=500,"High Price","Standard Price")</calculatedColumnFormula>
    </tableColumn>
    <tableColumn id="8" xr3:uid="{AE158EA0-344E-4730-88F6-D466DF7D66AD}" name="SUMIF" dataDxfId="3" dataCellStyle="Normal 2">
      <calculatedColumnFormula>SUMIF(sale_db[Category],"Electronics",sale_db[Price ($)])</calculatedColumnFormula>
    </tableColumn>
    <tableColumn id="9" xr3:uid="{30F8B025-5E51-4CAD-9AE8-64A675B48AB6}" name="DAY" dataDxfId="2" dataCellStyle="Normal 2">
      <calculatedColumnFormula>LEFT(sale_db[[#This Row],[Product ID]],2)</calculatedColumnFormula>
    </tableColumn>
    <tableColumn id="10" xr3:uid="{4C64F49D-D119-45C8-8378-E750794F5490}" name="COUNTRY CODE" dataDxfId="1" dataCellStyle="Normal 2">
      <calculatedColumnFormula>RIGHT(sale_db[[#This Row],[Product ID]],2)</calculatedColumnFormula>
    </tableColumn>
    <tableColumn id="11" xr3:uid="{F70DA80E-FB8A-4A5C-B2B6-DCB848839544}" name="MONTH" dataDxfId="0" dataCellStyle="Normal 2">
      <calculatedColumnFormula>MID(sale_db[[#This Row],[Product ID]],4,6)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9394-E4CE-47FB-83D7-5C91C722F2FC}">
  <dimension ref="A1:O48"/>
  <sheetViews>
    <sheetView tabSelected="1" workbookViewId="0">
      <selection activeCell="K3" sqref="K3"/>
    </sheetView>
  </sheetViews>
  <sheetFormatPr defaultRowHeight="15" x14ac:dyDescent="0.25"/>
  <cols>
    <col min="1" max="1" width="15" bestFit="1" customWidth="1"/>
    <col min="2" max="2" width="18.5703125" bestFit="1" customWidth="1"/>
    <col min="3" max="3" width="14.42578125" customWidth="1"/>
    <col min="4" max="4" width="10.5703125" customWidth="1"/>
    <col min="5" max="5" width="10.7109375" customWidth="1"/>
    <col min="6" max="6" width="13.7109375" bestFit="1" customWidth="1"/>
    <col min="7" max="7" width="13.42578125" bestFit="1" customWidth="1"/>
    <col min="8" max="8" width="11.42578125" bestFit="1" customWidth="1"/>
    <col min="10" max="10" width="20.28515625" bestFit="1" customWidth="1"/>
    <col min="13" max="13" width="19.7109375" bestFit="1" customWidth="1"/>
    <col min="14" max="14" width="20.42578125" bestFit="1" customWidth="1"/>
    <col min="15" max="15" width="13.28515625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2" t="s">
        <v>115</v>
      </c>
      <c r="H1" s="12" t="s">
        <v>116</v>
      </c>
      <c r="I1" s="12" t="s">
        <v>117</v>
      </c>
      <c r="J1" s="12" t="s">
        <v>118</v>
      </c>
      <c r="K1" s="12" t="s">
        <v>119</v>
      </c>
    </row>
    <row r="2" spans="1:15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11" t="str">
        <f>IF(sale_db[Price ($)]&gt;=500,"High Price","Standard Price")</f>
        <v>High Price</v>
      </c>
      <c r="H2" s="11">
        <f>SUMIF(sale_db[Category],"Electronics",sale_db[Price ($)])</f>
        <v>8050</v>
      </c>
      <c r="I2" s="11" t="str">
        <f>LEFT(sale_db[[#This Row],[Product ID]],2)</f>
        <v>28</v>
      </c>
      <c r="J2" s="13" t="str">
        <f>RIGHT(sale_db[[#This Row],[Product ID]],2)</f>
        <v>US</v>
      </c>
      <c r="K2" s="13" t="str">
        <f>MID(sale_db[[#This Row],[Product ID]],4,6)</f>
        <v>JAN-US</v>
      </c>
      <c r="M2" s="10" t="s">
        <v>110</v>
      </c>
      <c r="N2" s="10" t="s">
        <v>111</v>
      </c>
      <c r="O2" s="10" t="s">
        <v>112</v>
      </c>
    </row>
    <row r="3" spans="1:15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11" t="str">
        <f>IF(sale_db[Price ($)]&gt;=500,"High Price","Standard Price")</f>
        <v>Standard Price</v>
      </c>
      <c r="H3" s="11">
        <f>SUMIF(sale_db[Category],"Electronics",sale_db[Price ($)])</f>
        <v>8050</v>
      </c>
      <c r="I3" s="11" t="str">
        <f>LEFT(sale_db[[#This Row],[Product ID]],2)</f>
        <v>15</v>
      </c>
      <c r="J3" s="13" t="str">
        <f>RIGHT(sale_db[[#This Row],[Product ID]],2)</f>
        <v>US</v>
      </c>
      <c r="K3" s="13" t="str">
        <f>MID(sale_db[[#This Row],[Product ID]],4,6)</f>
        <v>FEB-US</v>
      </c>
      <c r="M3">
        <f>SUM(sale_db[Price ($)])</f>
        <v>10100</v>
      </c>
      <c r="N3">
        <f>COUNT(sale_db[Price ($)])</f>
        <v>34</v>
      </c>
      <c r="O3">
        <f>AVERAGE(sale_db[Price ($)])</f>
        <v>297.05882352941177</v>
      </c>
    </row>
    <row r="4" spans="1:15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11" t="str">
        <f>IF(sale_db[Price ($)]&gt;=500,"High Price","Standard Price")</f>
        <v>Standard Price</v>
      </c>
      <c r="H4" s="11">
        <f>SUMIF(sale_db[Category],"Electronics",sale_db[Price ($)])</f>
        <v>8050</v>
      </c>
      <c r="I4" s="11" t="str">
        <f>LEFT(sale_db[[#This Row],[Product ID]],2)</f>
        <v>03</v>
      </c>
      <c r="J4" s="13" t="str">
        <f>RIGHT(sale_db[[#This Row],[Product ID]],2)</f>
        <v>US</v>
      </c>
      <c r="K4" s="13" t="str">
        <f>MID(sale_db[[#This Row],[Product ID]],4,6)</f>
        <v>MAR-US</v>
      </c>
    </row>
    <row r="5" spans="1:15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11" t="str">
        <f>IF(sale_db[Price ($)]&gt;=500,"High Price","Standard Price")</f>
        <v>High Price</v>
      </c>
      <c r="H5" s="11">
        <f>SUMIF(sale_db[Category],"Electronics",sale_db[Price ($)])</f>
        <v>8050</v>
      </c>
      <c r="I5" s="11" t="str">
        <f>LEFT(sale_db[[#This Row],[Product ID]],2)</f>
        <v>11</v>
      </c>
      <c r="J5" s="13" t="str">
        <f>RIGHT(sale_db[[#This Row],[Product ID]],2)</f>
        <v>US</v>
      </c>
      <c r="K5" s="13" t="str">
        <f>MID(sale_db[[#This Row],[Product ID]],4,6)</f>
        <v>APR-US</v>
      </c>
    </row>
    <row r="6" spans="1:15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11" t="str">
        <f>IF(sale_db[Price ($)]&gt;=500,"High Price","Standard Price")</f>
        <v>Standard Price</v>
      </c>
      <c r="H6" s="11">
        <f>SUMIF(sale_db[Category],"Electronics",sale_db[Price ($)])</f>
        <v>8050</v>
      </c>
      <c r="I6" s="11" t="str">
        <f>LEFT(sale_db[[#This Row],[Product ID]],2)</f>
        <v>22</v>
      </c>
      <c r="J6" s="13" t="str">
        <f>RIGHT(sale_db[[#This Row],[Product ID]],2)</f>
        <v>US</v>
      </c>
      <c r="K6" s="13" t="str">
        <f>MID(sale_db[[#This Row],[Product ID]],4,6)</f>
        <v>MAY-US</v>
      </c>
      <c r="M6" s="10" t="s">
        <v>114</v>
      </c>
      <c r="N6" s="10" t="s">
        <v>113</v>
      </c>
    </row>
    <row r="7" spans="1:15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11" t="str">
        <f>IF(sale_db[Price ($)]&gt;=500,"High Price","Standard Price")</f>
        <v>Standard Price</v>
      </c>
      <c r="H7" s="11">
        <f>SUMIF(sale_db[Category],"Electronics",sale_db[Price ($)])</f>
        <v>8050</v>
      </c>
      <c r="I7" s="11" t="str">
        <f>LEFT(sale_db[[#This Row],[Product ID]],2)</f>
        <v>07</v>
      </c>
      <c r="J7" s="13" t="str">
        <f>RIGHT(sale_db[[#This Row],[Product ID]],2)</f>
        <v>UK</v>
      </c>
      <c r="K7" s="13" t="str">
        <f>MID(sale_db[[#This Row],[Product ID]],4,6)</f>
        <v>JUN-UK</v>
      </c>
      <c r="M7">
        <f>MIN(sale_db[Price ($)])</f>
        <v>30</v>
      </c>
      <c r="N7">
        <f>MAX(sale_db[Price ($)])</f>
        <v>1000</v>
      </c>
    </row>
    <row r="8" spans="1:15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11" t="str">
        <f>IF(sale_db[Price ($)]&gt;=500,"High Price","Standard Price")</f>
        <v>Standard Price</v>
      </c>
      <c r="H8" s="11">
        <f>SUMIF(sale_db[Category],"Electronics",sale_db[Price ($)])</f>
        <v>8050</v>
      </c>
      <c r="I8" s="11" t="str">
        <f>LEFT(sale_db[[#This Row],[Product ID]],2)</f>
        <v>19</v>
      </c>
      <c r="J8" s="13" t="str">
        <f>RIGHT(sale_db[[#This Row],[Product ID]],2)</f>
        <v>UK</v>
      </c>
      <c r="K8" s="13" t="str">
        <f>MID(sale_db[[#This Row],[Product ID]],4,6)</f>
        <v>JUL-UK</v>
      </c>
    </row>
    <row r="9" spans="1:15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11" t="str">
        <f>IF(sale_db[Price ($)]&gt;=500,"High Price","Standard Price")</f>
        <v>Standard Price</v>
      </c>
      <c r="H9" s="11">
        <f>SUMIF(sale_db[Category],"Electronics",sale_db[Price ($)])</f>
        <v>8050</v>
      </c>
      <c r="I9" s="11" t="str">
        <f>LEFT(sale_db[[#This Row],[Product ID]],2)</f>
        <v>23</v>
      </c>
      <c r="J9" s="13" t="str">
        <f>RIGHT(sale_db[[#This Row],[Product ID]],2)</f>
        <v>UK</v>
      </c>
      <c r="K9" s="13" t="str">
        <f>MID(sale_db[[#This Row],[Product ID]],4,6)</f>
        <v>AUG-UK</v>
      </c>
    </row>
    <row r="10" spans="1:15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11" t="str">
        <f>IF(sale_db[Price ($)]&gt;=500,"High Price","Standard Price")</f>
        <v>High Price</v>
      </c>
      <c r="H10" s="11">
        <f>SUMIF(sale_db[Category],"Electronics",sale_db[Price ($)])</f>
        <v>8050</v>
      </c>
      <c r="I10" s="11" t="str">
        <f>LEFT(sale_db[[#This Row],[Product ID]],2)</f>
        <v>05</v>
      </c>
      <c r="J10" s="13" t="str">
        <f>RIGHT(sale_db[[#This Row],[Product ID]],2)</f>
        <v>UK</v>
      </c>
      <c r="K10" s="13" t="str">
        <f>MID(sale_db[[#This Row],[Product ID]],4,6)</f>
        <v>SEP-UK</v>
      </c>
    </row>
    <row r="11" spans="1:15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11" t="str">
        <f>IF(sale_db[Price ($)]&gt;=500,"High Price","Standard Price")</f>
        <v>Standard Price</v>
      </c>
      <c r="H11" s="11">
        <f>SUMIF(sale_db[Category],"Electronics",sale_db[Price ($)])</f>
        <v>8050</v>
      </c>
      <c r="I11" s="11" t="str">
        <f>LEFT(sale_db[[#This Row],[Product ID]],2)</f>
        <v>14</v>
      </c>
      <c r="J11" s="13" t="str">
        <f>RIGHT(sale_db[[#This Row],[Product ID]],2)</f>
        <v>UK</v>
      </c>
      <c r="K11" s="13" t="str">
        <f>MID(sale_db[[#This Row],[Product ID]],4,6)</f>
        <v>OCT-UK</v>
      </c>
    </row>
    <row r="12" spans="1:15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11" t="str">
        <f>IF(sale_db[Price ($)]&gt;=500,"High Price","Standard Price")</f>
        <v>High Price</v>
      </c>
      <c r="H12" s="11">
        <f>SUMIF(sale_db[Category],"Electronics",sale_db[Price ($)])</f>
        <v>8050</v>
      </c>
      <c r="I12" s="11" t="str">
        <f>LEFT(sale_db[[#This Row],[Product ID]],2)</f>
        <v>17</v>
      </c>
      <c r="J12" s="13" t="str">
        <f>RIGHT(sale_db[[#This Row],[Product ID]],2)</f>
        <v>IN</v>
      </c>
      <c r="K12" s="13" t="str">
        <f>MID(sale_db[[#This Row],[Product ID]],4,6)</f>
        <v>JUN-IN</v>
      </c>
    </row>
    <row r="13" spans="1:15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11" t="str">
        <f>IF(sale_db[Price ($)]&gt;=500,"High Price","Standard Price")</f>
        <v>Standard Price</v>
      </c>
      <c r="H13" s="11">
        <f>SUMIF(sale_db[Category],"Electronics",sale_db[Price ($)])</f>
        <v>8050</v>
      </c>
      <c r="I13" s="11" t="str">
        <f>LEFT(sale_db[[#This Row],[Product ID]],2)</f>
        <v>25</v>
      </c>
      <c r="J13" s="13" t="str">
        <f>RIGHT(sale_db[[#This Row],[Product ID]],2)</f>
        <v>AU</v>
      </c>
      <c r="K13" s="13" t="str">
        <f>MID(sale_db[[#This Row],[Product ID]],4,6)</f>
        <v>NOV-AU</v>
      </c>
    </row>
    <row r="14" spans="1:15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11" t="str">
        <f>IF(sale_db[Price ($)]&gt;=500,"High Price","Standard Price")</f>
        <v>Standard Price</v>
      </c>
      <c r="H14" s="11">
        <f>SUMIF(sale_db[Category],"Electronics",sale_db[Price ($)])</f>
        <v>8050</v>
      </c>
      <c r="I14" s="11" t="str">
        <f>LEFT(sale_db[[#This Row],[Product ID]],2)</f>
        <v>08</v>
      </c>
      <c r="J14" s="13" t="str">
        <f>RIGHT(sale_db[[#This Row],[Product ID]],2)</f>
        <v>DE</v>
      </c>
      <c r="K14" s="13" t="str">
        <f>MID(sale_db[[#This Row],[Product ID]],4,6)</f>
        <v>DEC-DE</v>
      </c>
    </row>
    <row r="15" spans="1:15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11" t="str">
        <f>IF(sale_db[Price ($)]&gt;=500,"High Price","Standard Price")</f>
        <v>Standard Price</v>
      </c>
      <c r="H15" s="11">
        <f>SUMIF(sale_db[Category],"Electronics",sale_db[Price ($)])</f>
        <v>8050</v>
      </c>
      <c r="I15" s="11" t="str">
        <f>LEFT(sale_db[[#This Row],[Product ID]],2)</f>
        <v>18</v>
      </c>
      <c r="J15" s="13" t="str">
        <f>RIGHT(sale_db[[#This Row],[Product ID]],2)</f>
        <v>CA</v>
      </c>
      <c r="K15" s="13" t="str">
        <f>MID(sale_db[[#This Row],[Product ID]],4,6)</f>
        <v>FEB-CA</v>
      </c>
    </row>
    <row r="16" spans="1:15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11" t="str">
        <f>IF(sale_db[Price ($)]&gt;=500,"High Price","Standard Price")</f>
        <v>Standard Price</v>
      </c>
      <c r="H16" s="11">
        <f>SUMIF(sale_db[Category],"Electronics",sale_db[Price ($)])</f>
        <v>8050</v>
      </c>
      <c r="I16" s="11" t="str">
        <f>LEFT(sale_db[[#This Row],[Product ID]],2)</f>
        <v>16</v>
      </c>
      <c r="J16" s="13" t="str">
        <f>RIGHT(sale_db[[#This Row],[Product ID]],2)</f>
        <v>ES</v>
      </c>
      <c r="K16" s="13" t="str">
        <f>MID(sale_db[[#This Row],[Product ID]],4,6)</f>
        <v>APR-ES</v>
      </c>
    </row>
    <row r="17" spans="1:1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11" t="str">
        <f>IF(sale_db[Price ($)]&gt;=500,"High Price","Standard Price")</f>
        <v>Standard Price</v>
      </c>
      <c r="H17" s="11">
        <f>SUMIF(sale_db[Category],"Electronics",sale_db[Price ($)])</f>
        <v>8050</v>
      </c>
      <c r="I17" s="11" t="str">
        <f>LEFT(sale_db[[#This Row],[Product ID]],2)</f>
        <v>21</v>
      </c>
      <c r="J17" s="13" t="str">
        <f>RIGHT(sale_db[[#This Row],[Product ID]],2)</f>
        <v>CA</v>
      </c>
      <c r="K17" s="13" t="str">
        <f>MID(sale_db[[#This Row],[Product ID]],4,6)</f>
        <v>AUG-CA</v>
      </c>
    </row>
    <row r="18" spans="1:1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11" t="str">
        <f>IF(sale_db[Price ($)]&gt;=500,"High Price","Standard Price")</f>
        <v>Standard Price</v>
      </c>
      <c r="H18" s="11">
        <f>SUMIF(sale_db[Category],"Electronics",sale_db[Price ($)])</f>
        <v>8050</v>
      </c>
      <c r="I18" s="11" t="str">
        <f>LEFT(sale_db[[#This Row],[Product ID]],2)</f>
        <v>20</v>
      </c>
      <c r="J18" s="13" t="str">
        <f>RIGHT(sale_db[[#This Row],[Product ID]],2)</f>
        <v>CN</v>
      </c>
      <c r="K18" s="13" t="str">
        <f>MID(sale_db[[#This Row],[Product ID]],4,6)</f>
        <v>AUG-CN</v>
      </c>
    </row>
    <row r="19" spans="1:1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11" t="str">
        <f>IF(sale_db[Price ($)]&gt;=500,"High Price","Standard Price")</f>
        <v>High Price</v>
      </c>
      <c r="H19" s="11">
        <f>SUMIF(sale_db[Category],"Electronics",sale_db[Price ($)])</f>
        <v>8050</v>
      </c>
      <c r="I19" s="11" t="str">
        <f>LEFT(sale_db[[#This Row],[Product ID]],2)</f>
        <v>27</v>
      </c>
      <c r="J19" s="13" t="str">
        <f>RIGHT(sale_db[[#This Row],[Product ID]],2)</f>
        <v>IT</v>
      </c>
      <c r="K19" s="13" t="str">
        <f>MID(sale_db[[#This Row],[Product ID]],4,6)</f>
        <v>JAN-IT</v>
      </c>
    </row>
    <row r="20" spans="1:1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11" t="str">
        <f>IF(sale_db[Price ($)]&gt;=500,"High Price","Standard Price")</f>
        <v>Standard Price</v>
      </c>
      <c r="H20" s="11">
        <f>SUMIF(sale_db[Category],"Electronics",sale_db[Price ($)])</f>
        <v>8050</v>
      </c>
      <c r="I20" s="11" t="str">
        <f>LEFT(sale_db[[#This Row],[Product ID]],2)</f>
        <v>01</v>
      </c>
      <c r="J20" s="13" t="str">
        <f>RIGHT(sale_db[[#This Row],[Product ID]],2)</f>
        <v>UK</v>
      </c>
      <c r="K20" s="13" t="str">
        <f>MID(sale_db[[#This Row],[Product ID]],4,6)</f>
        <v>MAR-UK</v>
      </c>
    </row>
    <row r="21" spans="1:1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11" t="str">
        <f>IF(sale_db[Price ($)]&gt;=500,"High Price","Standard Price")</f>
        <v>Standard Price</v>
      </c>
      <c r="H21" s="11">
        <f>SUMIF(sale_db[Category],"Electronics",sale_db[Price ($)])</f>
        <v>8050</v>
      </c>
      <c r="I21" s="11" t="str">
        <f>LEFT(sale_db[[#This Row],[Product ID]],2)</f>
        <v>14</v>
      </c>
      <c r="J21" s="13" t="str">
        <f>RIGHT(sale_db[[#This Row],[Product ID]],2)</f>
        <v>US</v>
      </c>
      <c r="K21" s="13" t="str">
        <f>MID(sale_db[[#This Row],[Product ID]],4,6)</f>
        <v>AUG-US</v>
      </c>
    </row>
    <row r="22" spans="1:1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11" t="str">
        <f>IF(sale_db[Price ($)]&gt;=500,"High Price","Standard Price")</f>
        <v>High Price</v>
      </c>
      <c r="H22" s="11">
        <f>SUMIF(sale_db[Category],"Electronics",sale_db[Price ($)])</f>
        <v>8050</v>
      </c>
      <c r="I22" s="11" t="str">
        <f>LEFT(sale_db[[#This Row],[Product ID]],2)</f>
        <v>14</v>
      </c>
      <c r="J22" s="13" t="str">
        <f>RIGHT(sale_db[[#This Row],[Product ID]],2)</f>
        <v>RU</v>
      </c>
      <c r="K22" s="13" t="str">
        <f>MID(sale_db[[#This Row],[Product ID]],4,6)</f>
        <v>MAY-RU</v>
      </c>
    </row>
    <row r="23" spans="1:1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11" t="str">
        <f>IF(sale_db[Price ($)]&gt;=500,"High Price","Standard Price")</f>
        <v>Standard Price</v>
      </c>
      <c r="H23" s="11">
        <f>SUMIF(sale_db[Category],"Electronics",sale_db[Price ($)])</f>
        <v>8050</v>
      </c>
      <c r="I23" s="11" t="str">
        <f>LEFT(sale_db[[#This Row],[Product ID]],2)</f>
        <v>09</v>
      </c>
      <c r="J23" s="13" t="str">
        <f>RIGHT(sale_db[[#This Row],[Product ID]],2)</f>
        <v>CA</v>
      </c>
      <c r="K23" s="13" t="str">
        <f>MID(sale_db[[#This Row],[Product ID]],4,6)</f>
        <v>JAN-CA</v>
      </c>
    </row>
    <row r="24" spans="1:1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11" t="str">
        <f>IF(sale_db[Price ($)]&gt;=500,"High Price","Standard Price")</f>
        <v>Standard Price</v>
      </c>
      <c r="H24" s="11">
        <f>SUMIF(sale_db[Category],"Electronics",sale_db[Price ($)])</f>
        <v>8050</v>
      </c>
      <c r="I24" s="11" t="str">
        <f>LEFT(sale_db[[#This Row],[Product ID]],2)</f>
        <v>19</v>
      </c>
      <c r="J24" s="13" t="str">
        <f>RIGHT(sale_db[[#This Row],[Product ID]],2)</f>
        <v>BR</v>
      </c>
      <c r="K24" s="13" t="str">
        <f>MID(sale_db[[#This Row],[Product ID]],4,6)</f>
        <v>JUL-BR</v>
      </c>
    </row>
    <row r="25" spans="1:1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11" t="str">
        <f>IF(sale_db[Price ($)]&gt;=500,"High Price","Standard Price")</f>
        <v>Standard Price</v>
      </c>
      <c r="H25" s="11">
        <f>SUMIF(sale_db[Category],"Electronics",sale_db[Price ($)])</f>
        <v>8050</v>
      </c>
      <c r="I25" s="11" t="str">
        <f>LEFT(sale_db[[#This Row],[Product ID]],2)</f>
        <v>21</v>
      </c>
      <c r="J25" s="13" t="str">
        <f>RIGHT(sale_db[[#This Row],[Product ID]],2)</f>
        <v>CA</v>
      </c>
      <c r="K25" s="13" t="str">
        <f>MID(sale_db[[#This Row],[Product ID]],4,6)</f>
        <v>AUG-CA</v>
      </c>
    </row>
    <row r="26" spans="1:1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11" t="str">
        <f>IF(sale_db[Price ($)]&gt;=500,"High Price","Standard Price")</f>
        <v>High Price</v>
      </c>
      <c r="H26" s="11">
        <f>SUMIF(sale_db[Category],"Electronics",sale_db[Price ($)])</f>
        <v>8050</v>
      </c>
      <c r="I26" s="11" t="str">
        <f>LEFT(sale_db[[#This Row],[Product ID]],2)</f>
        <v>29</v>
      </c>
      <c r="J26" s="13" t="str">
        <f>RIGHT(sale_db[[#This Row],[Product ID]],2)</f>
        <v>CA</v>
      </c>
      <c r="K26" s="13" t="str">
        <f>MID(sale_db[[#This Row],[Product ID]],4,6)</f>
        <v>SEP-CA</v>
      </c>
    </row>
    <row r="27" spans="1:1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11" t="str">
        <f>IF(sale_db[Price ($)]&gt;=500,"High Price","Standard Price")</f>
        <v>Standard Price</v>
      </c>
      <c r="H27" s="11">
        <f>SUMIF(sale_db[Category],"Electronics",sale_db[Price ($)])</f>
        <v>8050</v>
      </c>
      <c r="I27" s="11" t="str">
        <f>LEFT(sale_db[[#This Row],[Product ID]],2)</f>
        <v>03</v>
      </c>
      <c r="J27" s="13" t="str">
        <f>RIGHT(sale_db[[#This Row],[Product ID]],2)</f>
        <v>CA</v>
      </c>
      <c r="K27" s="13" t="str">
        <f>MID(sale_db[[#This Row],[Product ID]],4,6)</f>
        <v>JUN-CA</v>
      </c>
    </row>
    <row r="28" spans="1:1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11" t="str">
        <f>IF(sale_db[Price ($)]&gt;=500,"High Price","Standard Price")</f>
        <v>Standard Price</v>
      </c>
      <c r="H28" s="11">
        <f>SUMIF(sale_db[Category],"Electronics",sale_db[Price ($)])</f>
        <v>8050</v>
      </c>
      <c r="I28" s="11" t="str">
        <f>LEFT(sale_db[[#This Row],[Product ID]],2)</f>
        <v>11</v>
      </c>
      <c r="J28" s="13" t="str">
        <f>RIGHT(sale_db[[#This Row],[Product ID]],2)</f>
        <v>CA</v>
      </c>
      <c r="K28" s="13" t="str">
        <f>MID(sale_db[[#This Row],[Product ID]],4,6)</f>
        <v>JUL-CA</v>
      </c>
    </row>
    <row r="29" spans="1:1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11" t="str">
        <f>IF(sale_db[Price ($)]&gt;=500,"High Price","Standard Price")</f>
        <v>Standard Price</v>
      </c>
      <c r="H29" s="11">
        <f>SUMIF(sale_db[Category],"Electronics",sale_db[Price ($)])</f>
        <v>8050</v>
      </c>
      <c r="I29" s="11" t="str">
        <f>LEFT(sale_db[[#This Row],[Product ID]],2)</f>
        <v>16</v>
      </c>
      <c r="J29" s="13" t="str">
        <f>RIGHT(sale_db[[#This Row],[Product ID]],2)</f>
        <v>ES</v>
      </c>
      <c r="K29" s="13" t="str">
        <f>MID(sale_db[[#This Row],[Product ID]],4,6)</f>
        <v>APR-ES</v>
      </c>
    </row>
    <row r="30" spans="1:1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11" t="str">
        <f>IF(sale_db[Price ($)]&gt;=500,"High Price","Standard Price")</f>
        <v>Standard Price</v>
      </c>
      <c r="H30" s="11">
        <f>SUMIF(sale_db[Category],"Electronics",sale_db[Price ($)])</f>
        <v>8050</v>
      </c>
      <c r="I30" s="11" t="str">
        <f>LEFT(sale_db[[#This Row],[Product ID]],2)</f>
        <v>07</v>
      </c>
      <c r="J30" s="13" t="str">
        <f>RIGHT(sale_db[[#This Row],[Product ID]],2)</f>
        <v>CA</v>
      </c>
      <c r="K30" s="13" t="str">
        <f>MID(sale_db[[#This Row],[Product ID]],4,6)</f>
        <v>MAR-CA</v>
      </c>
    </row>
    <row r="31" spans="1:1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11" t="str">
        <f>IF(sale_db[Price ($)]&gt;=500,"High Price","Standard Price")</f>
        <v>Standard Price</v>
      </c>
      <c r="H31" s="11">
        <f>SUMIF(sale_db[Category],"Electronics",sale_db[Price ($)])</f>
        <v>8050</v>
      </c>
      <c r="I31" s="11" t="str">
        <f>LEFT(sale_db[[#This Row],[Product ID]],2)</f>
        <v>13</v>
      </c>
      <c r="J31" s="13" t="str">
        <f>RIGHT(sale_db[[#This Row],[Product ID]],2)</f>
        <v>CA</v>
      </c>
      <c r="K31" s="13" t="str">
        <f>MID(sale_db[[#This Row],[Product ID]],4,6)</f>
        <v>APR-CA</v>
      </c>
    </row>
    <row r="32" spans="1:1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11" t="str">
        <f>IF(sale_db[Price ($)]&gt;=500,"High Price","Standard Price")</f>
        <v>Standard Price</v>
      </c>
      <c r="H32" s="11">
        <f>SUMIF(sale_db[Category],"Electronics",sale_db[Price ($)])</f>
        <v>8050</v>
      </c>
      <c r="I32" s="11" t="str">
        <f>LEFT(sale_db[[#This Row],[Product ID]],2)</f>
        <v>24</v>
      </c>
      <c r="J32" s="13" t="str">
        <f>RIGHT(sale_db[[#This Row],[Product ID]],2)</f>
        <v>CA</v>
      </c>
      <c r="K32" s="13" t="str">
        <f>MID(sale_db[[#This Row],[Product ID]],4,6)</f>
        <v>MAY-CA</v>
      </c>
    </row>
    <row r="33" spans="1:1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11" t="str">
        <f>IF(sale_db[Price ($)]&gt;=500,"High Price","Standard Price")</f>
        <v>Standard Price</v>
      </c>
      <c r="H33" s="11">
        <f>SUMIF(sale_db[Category],"Electronics",sale_db[Price ($)])</f>
        <v>8050</v>
      </c>
      <c r="I33" s="11" t="str">
        <f>LEFT(sale_db[[#This Row],[Product ID]],2)</f>
        <v>02</v>
      </c>
      <c r="J33" s="13" t="str">
        <f>RIGHT(sale_db[[#This Row],[Product ID]],2)</f>
        <v>CA</v>
      </c>
      <c r="K33" s="13" t="str">
        <f>MID(sale_db[[#This Row],[Product ID]],4,6)</f>
        <v>DEC-CA</v>
      </c>
    </row>
    <row r="34" spans="1:1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11" t="str">
        <f>IF(sale_db[Price ($)]&gt;=500,"High Price","Standard Price")</f>
        <v>High Price</v>
      </c>
      <c r="H34" s="11">
        <f>SUMIF(sale_db[Category],"Electronics",sale_db[Price ($)])</f>
        <v>8050</v>
      </c>
      <c r="I34" s="11" t="str">
        <f>LEFT(sale_db[[#This Row],[Product ID]],2)</f>
        <v>17</v>
      </c>
      <c r="J34" s="13" t="str">
        <f>RIGHT(sale_db[[#This Row],[Product ID]],2)</f>
        <v>IN</v>
      </c>
      <c r="K34" s="13" t="str">
        <f>MID(sale_db[[#This Row],[Product ID]],4,6)</f>
        <v>JUN-IN</v>
      </c>
    </row>
    <row r="35" spans="1:1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11" t="str">
        <f>IF(sale_db[Price ($)]&gt;=500,"High Price","Standard Price")</f>
        <v>Standard Price</v>
      </c>
      <c r="H35" s="11">
        <f>SUMIF(sale_db[Category],"Electronics",sale_db[Price ($)])</f>
        <v>8050</v>
      </c>
      <c r="I35" s="11" t="str">
        <f>LEFT(sale_db[[#This Row],[Product ID]],2)</f>
        <v>09</v>
      </c>
      <c r="J35" s="13" t="str">
        <f>RIGHT(sale_db[[#This Row],[Product ID]],2)</f>
        <v>FR</v>
      </c>
      <c r="K35" s="13" t="str">
        <f>MID(sale_db[[#This Row],[Product ID]],4,6)</f>
        <v>JUL-FR</v>
      </c>
    </row>
    <row r="36" spans="1:11" x14ac:dyDescent="0.25">
      <c r="A36" s="1"/>
      <c r="B36" s="1"/>
      <c r="C36" s="1"/>
      <c r="D36" s="1"/>
      <c r="E36" s="1"/>
      <c r="F36" s="1"/>
      <c r="G36" s="1"/>
      <c r="H36" s="5"/>
      <c r="I36" s="5"/>
      <c r="J36" s="5"/>
      <c r="K36" s="5"/>
    </row>
    <row r="37" spans="1:11" x14ac:dyDescent="0.25">
      <c r="A37" s="1"/>
      <c r="B37" s="1"/>
      <c r="C37" s="1"/>
      <c r="D37" s="1"/>
      <c r="E37" s="1"/>
      <c r="F37" s="1"/>
      <c r="G37" s="1"/>
      <c r="H37" s="5"/>
      <c r="I37" s="5"/>
      <c r="J37" s="5"/>
      <c r="K37" s="5"/>
    </row>
    <row r="38" spans="1:11" x14ac:dyDescent="0.25">
      <c r="A38" s="1"/>
      <c r="B38" s="1"/>
      <c r="C38" s="1"/>
      <c r="D38" s="1"/>
      <c r="E38" s="1"/>
      <c r="F38" s="1"/>
      <c r="G38" s="1"/>
      <c r="H38" s="5"/>
      <c r="I38" s="5"/>
      <c r="J38" s="5"/>
      <c r="K38" s="5"/>
    </row>
    <row r="39" spans="1:11" x14ac:dyDescent="0.25">
      <c r="A39" s="1"/>
      <c r="B39" s="1"/>
      <c r="C39" s="1"/>
      <c r="D39" s="1"/>
      <c r="E39" s="1"/>
      <c r="F39" s="1"/>
      <c r="G39" s="1"/>
      <c r="H39" s="5"/>
      <c r="I39" s="5"/>
      <c r="J39" s="5"/>
      <c r="K39" s="5"/>
    </row>
    <row r="40" spans="1:11" x14ac:dyDescent="0.25">
      <c r="A40" s="1"/>
      <c r="B40" s="1"/>
      <c r="C40" s="1"/>
      <c r="D40" s="1"/>
      <c r="E40" s="1"/>
      <c r="F40" s="1"/>
      <c r="G40" s="1"/>
      <c r="H40" s="5"/>
      <c r="I40" s="5"/>
      <c r="J40" s="5"/>
      <c r="K40" s="5"/>
    </row>
    <row r="41" spans="1:11" x14ac:dyDescent="0.25">
      <c r="A41" s="1"/>
      <c r="B41" s="1"/>
      <c r="C41" s="1"/>
      <c r="D41" s="1"/>
      <c r="E41" s="1"/>
      <c r="F41" s="1"/>
      <c r="G41" s="1"/>
      <c r="H41" s="5"/>
      <c r="I41" s="5"/>
      <c r="J41" s="5"/>
      <c r="K41" s="5"/>
    </row>
    <row r="42" spans="1:11" x14ac:dyDescent="0.25">
      <c r="A42" s="1"/>
      <c r="B42" s="1"/>
      <c r="C42" s="1"/>
      <c r="D42" s="1"/>
      <c r="E42" s="1"/>
      <c r="F42" s="1"/>
      <c r="G42" s="1"/>
      <c r="H42" s="5"/>
      <c r="I42" s="5"/>
      <c r="J42" s="5"/>
      <c r="K42" s="5"/>
    </row>
    <row r="43" spans="1:11" x14ac:dyDescent="0.25">
      <c r="A43" s="1"/>
      <c r="B43" s="1"/>
      <c r="C43" s="1"/>
      <c r="D43" s="1"/>
      <c r="E43" s="1"/>
      <c r="F43" s="1"/>
      <c r="G43" s="1"/>
      <c r="H43" s="5"/>
      <c r="I43" s="5"/>
      <c r="J43" s="5"/>
      <c r="K43" s="5"/>
    </row>
    <row r="44" spans="1:11" x14ac:dyDescent="0.25">
      <c r="A44" s="1"/>
      <c r="B44" s="1"/>
      <c r="C44" s="1"/>
      <c r="D44" s="1"/>
      <c r="E44" s="1"/>
      <c r="F44" s="1"/>
      <c r="G44" s="1"/>
      <c r="H44" s="5"/>
      <c r="I44" s="5"/>
      <c r="J44" s="5"/>
      <c r="K44" s="5"/>
    </row>
    <row r="45" spans="1:11" x14ac:dyDescent="0.25">
      <c r="A45" s="1"/>
      <c r="B45" s="1"/>
      <c r="C45" s="1"/>
      <c r="D45" s="1"/>
      <c r="E45" s="1"/>
      <c r="F45" s="1"/>
      <c r="G45" s="1"/>
      <c r="H45" s="5"/>
      <c r="I45" s="5"/>
      <c r="J45" s="5"/>
      <c r="K45" s="5"/>
    </row>
    <row r="46" spans="1:11" x14ac:dyDescent="0.25">
      <c r="A46" s="1"/>
      <c r="B46" s="1"/>
      <c r="C46" s="1"/>
      <c r="D46" s="1"/>
      <c r="E46" s="1"/>
      <c r="F46" s="1"/>
      <c r="G46" s="1"/>
      <c r="H46" s="5"/>
      <c r="I46" s="5"/>
      <c r="J46" s="5"/>
      <c r="K46" s="5"/>
    </row>
    <row r="47" spans="1:11" x14ac:dyDescent="0.25">
      <c r="A47" s="1"/>
      <c r="B47" s="1"/>
      <c r="C47" s="1"/>
      <c r="D47" s="1"/>
      <c r="E47" s="1"/>
      <c r="F47" s="1"/>
      <c r="G47" s="1"/>
      <c r="H47" s="5"/>
      <c r="I47" s="5"/>
      <c r="J47" s="5"/>
      <c r="K47" s="5"/>
    </row>
    <row r="48" spans="1:11" x14ac:dyDescent="0.25">
      <c r="A48" s="1"/>
      <c r="B48" s="1"/>
      <c r="C48" s="1"/>
      <c r="D48" s="1"/>
      <c r="E48" s="1"/>
      <c r="F48" s="1"/>
      <c r="G48" s="1"/>
      <c r="H48" s="5"/>
      <c r="I48" s="5"/>
      <c r="J48" s="5"/>
      <c r="K48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86BA-43A3-45C6-A63A-CD797332CE65}">
  <dimension ref="A1:C32"/>
  <sheetViews>
    <sheetView workbookViewId="0">
      <selection activeCell="J30" sqref="J30"/>
    </sheetView>
  </sheetViews>
  <sheetFormatPr defaultRowHeight="15" x14ac:dyDescent="0.25"/>
  <sheetData>
    <row r="1" spans="1:3" x14ac:dyDescent="0.25">
      <c r="A1" s="6" t="s">
        <v>93</v>
      </c>
      <c r="B1" s="5"/>
      <c r="C1" s="5"/>
    </row>
    <row r="2" spans="1:3" x14ac:dyDescent="0.25">
      <c r="A2" s="5"/>
      <c r="B2" s="5"/>
      <c r="C2" s="5"/>
    </row>
    <row r="3" spans="1:3" ht="15.75" x14ac:dyDescent="0.25">
      <c r="A3" s="5"/>
      <c r="B3" s="7" t="s">
        <v>94</v>
      </c>
      <c r="C3" s="5"/>
    </row>
    <row r="4" spans="1:3" ht="15.75" x14ac:dyDescent="0.25">
      <c r="A4" s="5"/>
      <c r="B4" s="7"/>
      <c r="C4" s="8" t="s">
        <v>95</v>
      </c>
    </row>
    <row r="5" spans="1:3" ht="15.75" x14ac:dyDescent="0.25">
      <c r="A5" s="5"/>
      <c r="B5" s="7"/>
      <c r="C5" s="8" t="s">
        <v>96</v>
      </c>
    </row>
    <row r="6" spans="1:3" ht="15.75" x14ac:dyDescent="0.25">
      <c r="A6" s="5"/>
      <c r="B6" s="7"/>
      <c r="C6" s="8" t="s">
        <v>97</v>
      </c>
    </row>
    <row r="7" spans="1:3" x14ac:dyDescent="0.25">
      <c r="A7" s="5"/>
      <c r="B7" s="9"/>
      <c r="C7" s="5"/>
    </row>
    <row r="8" spans="1:3" ht="15.75" x14ac:dyDescent="0.25">
      <c r="A8" s="5"/>
      <c r="B8" s="7" t="s">
        <v>98</v>
      </c>
      <c r="C8" s="5"/>
    </row>
    <row r="9" spans="1:3" ht="15.75" x14ac:dyDescent="0.25">
      <c r="A9" s="5"/>
      <c r="B9" s="5"/>
      <c r="C9" s="8" t="s">
        <v>99</v>
      </c>
    </row>
    <row r="10" spans="1:3" ht="15.75" x14ac:dyDescent="0.25">
      <c r="A10" s="5"/>
      <c r="B10" s="5"/>
      <c r="C10" s="8" t="s">
        <v>100</v>
      </c>
    </row>
    <row r="11" spans="1:3" x14ac:dyDescent="0.25">
      <c r="A11" s="5"/>
      <c r="B11" s="9"/>
      <c r="C11" s="5"/>
    </row>
    <row r="12" spans="1:3" ht="15.75" x14ac:dyDescent="0.25">
      <c r="A12" s="5"/>
      <c r="B12" s="7" t="s">
        <v>101</v>
      </c>
      <c r="C12" s="5"/>
    </row>
    <row r="13" spans="1:3" ht="15.75" x14ac:dyDescent="0.25">
      <c r="A13" s="5"/>
      <c r="B13" s="5"/>
      <c r="C13" s="8" t="s">
        <v>102</v>
      </c>
    </row>
    <row r="14" spans="1:3" x14ac:dyDescent="0.25">
      <c r="A14" s="5"/>
      <c r="B14" s="9"/>
      <c r="C14" s="5"/>
    </row>
    <row r="15" spans="1:3" ht="15.75" x14ac:dyDescent="0.25">
      <c r="A15" s="5"/>
      <c r="B15" s="7" t="s">
        <v>103</v>
      </c>
      <c r="C15" s="5"/>
    </row>
    <row r="16" spans="1:3" ht="15.75" x14ac:dyDescent="0.25">
      <c r="A16" s="5"/>
      <c r="B16" s="5"/>
      <c r="C16" s="8" t="s">
        <v>104</v>
      </c>
    </row>
    <row r="17" spans="2:3" ht="15.75" x14ac:dyDescent="0.25">
      <c r="B17" s="5"/>
      <c r="C17" s="8" t="s">
        <v>105</v>
      </c>
    </row>
    <row r="18" spans="2:3" x14ac:dyDescent="0.25">
      <c r="B18" s="9"/>
      <c r="C18" s="5"/>
    </row>
    <row r="19" spans="2:3" ht="15.75" x14ac:dyDescent="0.25">
      <c r="B19" s="7" t="s">
        <v>106</v>
      </c>
      <c r="C19" s="5"/>
    </row>
    <row r="20" spans="2:3" ht="15.75" x14ac:dyDescent="0.25">
      <c r="B20" s="5"/>
      <c r="C20" s="8" t="s">
        <v>107</v>
      </c>
    </row>
    <row r="21" spans="2:3" ht="15.75" x14ac:dyDescent="0.25">
      <c r="B21" s="5"/>
      <c r="C21" s="8" t="s">
        <v>108</v>
      </c>
    </row>
    <row r="22" spans="2:3" ht="15.75" x14ac:dyDescent="0.25">
      <c r="B22" s="5"/>
      <c r="C22" s="8" t="s">
        <v>109</v>
      </c>
    </row>
    <row r="23" spans="2:3" x14ac:dyDescent="0.25">
      <c r="B23" s="9"/>
      <c r="C23" s="5"/>
    </row>
    <row r="24" spans="2:3" x14ac:dyDescent="0.25">
      <c r="B24" s="5"/>
      <c r="C24" s="5"/>
    </row>
    <row r="25" spans="2:3" x14ac:dyDescent="0.25">
      <c r="B25" s="5"/>
      <c r="C25" s="5"/>
    </row>
    <row r="26" spans="2:3" x14ac:dyDescent="0.25">
      <c r="B26" s="5"/>
      <c r="C26" s="5"/>
    </row>
    <row r="27" spans="2:3" x14ac:dyDescent="0.25">
      <c r="B27" s="5"/>
      <c r="C27" s="5"/>
    </row>
    <row r="28" spans="2:3" x14ac:dyDescent="0.25">
      <c r="B28" s="5"/>
      <c r="C28" s="5"/>
    </row>
    <row r="29" spans="2:3" x14ac:dyDescent="0.25">
      <c r="B29" s="5"/>
      <c r="C29" s="5"/>
    </row>
    <row r="30" spans="2:3" x14ac:dyDescent="0.25">
      <c r="B30" s="5"/>
      <c r="C30" s="5"/>
    </row>
    <row r="31" spans="2:3" x14ac:dyDescent="0.25">
      <c r="B31" s="5"/>
      <c r="C31" s="5"/>
    </row>
    <row r="32" spans="2:3" x14ac:dyDescent="0.25">
      <c r="B32" s="5"/>
      <c r="C3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SalesDatabase</vt:lpstr>
      <vt:lpstr>Instruction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Kadarkarai Thangaraj</dc:creator>
  <cp:lastModifiedBy>Kadarkarai Thangaraj</cp:lastModifiedBy>
  <dcterms:created xsi:type="dcterms:W3CDTF">2026-03-27T16:00:18Z</dcterms:created>
  <dcterms:modified xsi:type="dcterms:W3CDTF">2026-03-27T16:15:19Z</dcterms:modified>
</cp:coreProperties>
</file>